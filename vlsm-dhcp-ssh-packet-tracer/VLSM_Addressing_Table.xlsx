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LSM Plan" sheetId="1" state="visible" r:id="rId3"/>
    <sheet name="Device Addressing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<sst xmlns="http://schemas.openxmlformats.org/spreadsheetml/2006/main" count="97" uniqueCount="62">
  <si>
    <t xml:space="preserve">VLSM Addressing Plan - 172.16.50.0/24</t>
  </si>
  <si>
    <t xml:space="preserve">Department</t>
  </si>
  <si>
    <t xml:space="preserve">Hosts needed</t>
  </si>
  <si>
    <t xml:space="preserve">Subnet</t>
  </si>
  <si>
    <t xml:space="preserve">Prefix</t>
  </si>
  <si>
    <t xml:space="preserve">Mask</t>
  </si>
  <si>
    <t xml:space="preserve">Block size</t>
  </si>
  <si>
    <t xml:space="preserve">Usable hosts</t>
  </si>
  <si>
    <t xml:space="preserve">First usable</t>
  </si>
  <si>
    <t xml:space="preserve">Last usable</t>
  </si>
  <si>
    <t xml:space="preserve">Broadcast</t>
  </si>
  <si>
    <t xml:space="preserve">Sales</t>
  </si>
  <si>
    <t xml:space="preserve">172.16.50.0</t>
  </si>
  <si>
    <t xml:space="preserve">255.255.255.192</t>
  </si>
  <si>
    <t xml:space="preserve">172.16.50.1</t>
  </si>
  <si>
    <t xml:space="preserve">172.16.50.62</t>
  </si>
  <si>
    <t xml:space="preserve">172.16.50.63</t>
  </si>
  <si>
    <t xml:space="preserve">Support</t>
  </si>
  <si>
    <t xml:space="preserve">172.16.50.64</t>
  </si>
  <si>
    <t xml:space="preserve">255.255.255.224</t>
  </si>
  <si>
    <t xml:space="preserve">172.16.50.65</t>
  </si>
  <si>
    <t xml:space="preserve">172.16.50.94</t>
  </si>
  <si>
    <t xml:space="preserve">172.16.50.95</t>
  </si>
  <si>
    <t xml:space="preserve">Accounting</t>
  </si>
  <si>
    <t xml:space="preserve">172.16.50.96</t>
  </si>
  <si>
    <t xml:space="preserve">255.255.255.240</t>
  </si>
  <si>
    <t xml:space="preserve">172.16.50.97</t>
  </si>
  <si>
    <t xml:space="preserve">172.16.50.110</t>
  </si>
  <si>
    <t xml:space="preserve">172.16.50.111</t>
  </si>
  <si>
    <t xml:space="preserve">Address space summary</t>
  </si>
  <si>
    <t xml:space="preserve">Total addresses in /24</t>
  </si>
  <si>
    <t xml:space="preserve">Addresses used (sum of blocks)</t>
  </si>
  <si>
    <t xml:space="preserve">Addresses unused</t>
  </si>
  <si>
    <t xml:space="preserve">Used range</t>
  </si>
  <si>
    <t xml:space="preserve">172.16.50.0 - 172.16.50.111</t>
  </si>
  <si>
    <t xml:space="preserve">Unused range</t>
  </si>
  <si>
    <t xml:space="preserve">172.16.50.112 - 172.16.50.255</t>
  </si>
  <si>
    <t xml:space="preserve">Note: block size = 2^(32 - prefix); usable hosts = block size - 2 (network and broadcast). Total 256 is the size of a /24.</t>
  </si>
  <si>
    <t xml:space="preserve">Device Addressing Table</t>
  </si>
  <si>
    <t xml:space="preserve">Yellow cells: fill in with the values you configured (switch IPs and port names).</t>
  </si>
  <si>
    <t xml:space="preserve">Device</t>
  </si>
  <si>
    <t xml:space="preserve">Interface</t>
  </si>
  <si>
    <t xml:space="preserve">IP address</t>
  </si>
  <si>
    <t xml:space="preserve">Connects to</t>
  </si>
  <si>
    <t xml:space="preserve">Default gateway</t>
  </si>
  <si>
    <t xml:space="preserve">R1</t>
  </si>
  <si>
    <t xml:space="preserve">Gi0/0</t>
  </si>
  <si>
    <t xml:space="preserve">SW-Sales</t>
  </si>
  <si>
    <t xml:space="preserve">n/a</t>
  </si>
  <si>
    <t xml:space="preserve">Gi0/1</t>
  </si>
  <si>
    <t xml:space="preserve">SW-Support</t>
  </si>
  <si>
    <t xml:space="preserve">Gi0/2</t>
  </si>
  <si>
    <t xml:space="preserve">SW-Accounting</t>
  </si>
  <si>
    <t xml:space="preserve">VLAN 1</t>
  </si>
  <si>
    <t xml:space="preserve">R1 Gi0/0</t>
  </si>
  <si>
    <t xml:space="preserve">R1 Gi0/1</t>
  </si>
  <si>
    <t xml:space="preserve">R1 Gi0/2</t>
  </si>
  <si>
    <t xml:space="preserve">Sales PCs</t>
  </si>
  <si>
    <t xml:space="preserve">NIC</t>
  </si>
  <si>
    <t xml:space="preserve">DHCP</t>
  </si>
  <si>
    <t xml:space="preserve">Support PCs</t>
  </si>
  <si>
    <t xml:space="preserve">Accounting PCs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</si>
</sst>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10" min="8" style="0" width="15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customFormat="false" ht="15" hidden="false" customHeight="false" outlineLevel="0" collapsed="false">
      <c r="A4" s="3" t="s">
        <v>11</v>
      </c>
      <c r="B4" s="3" t="n">
        <v>50</v>
      </c>
      <c r="C4" s="3" t="s">
        <v>12</v>
      </c>
      <c r="D4" s="3" t="n">
        <v>26</v>
      </c>
      <c r="E4" s="3" t="s">
        <v>13</v>
      </c>
      <c r="F4" s="3" t="n">
        <f aca="false">2^(32-D4)</f>
        <v>64</v>
      </c>
      <c r="G4" s="3" t="n">
        <f aca="false">F4-2</f>
        <v>62</v>
      </c>
      <c r="H4" s="3" t="s">
        <v>14</v>
      </c>
      <c r="I4" s="3" t="s">
        <v>15</v>
      </c>
      <c r="J4" s="3" t="s">
        <v>16</v>
      </c>
    </row>
    <row r="5" customFormat="false" ht="15" hidden="false" customHeight="false" outlineLevel="0" collapsed="false">
      <c r="A5" s="3" t="s">
        <v>17</v>
      </c>
      <c r="B5" s="3" t="n">
        <v>20</v>
      </c>
      <c r="C5" s="3" t="s">
        <v>18</v>
      </c>
      <c r="D5" s="3" t="n">
        <v>27</v>
      </c>
      <c r="E5" s="3" t="s">
        <v>19</v>
      </c>
      <c r="F5" s="3" t="n">
        <f aca="false">2^(32-D5)</f>
        <v>32</v>
      </c>
      <c r="G5" s="3" t="n">
        <f aca="false">F5-2</f>
        <v>30</v>
      </c>
      <c r="H5" s="3" t="s">
        <v>20</v>
      </c>
      <c r="I5" s="3" t="s">
        <v>21</v>
      </c>
      <c r="J5" s="3" t="s">
        <v>22</v>
      </c>
    </row>
    <row r="6" customFormat="false" ht="15" hidden="false" customHeight="false" outlineLevel="0" collapsed="false">
      <c r="A6" s="3" t="s">
        <v>23</v>
      </c>
      <c r="B6" s="3" t="n">
        <v>10</v>
      </c>
      <c r="C6" s="3" t="s">
        <v>24</v>
      </c>
      <c r="D6" s="3" t="n">
        <v>28</v>
      </c>
      <c r="E6" s="3" t="s">
        <v>25</v>
      </c>
      <c r="F6" s="3" t="n">
        <f aca="false">2^(32-D6)</f>
        <v>16</v>
      </c>
      <c r="G6" s="3" t="n">
        <f aca="false">F6-2</f>
        <v>14</v>
      </c>
      <c r="H6" s="3" t="s">
        <v>26</v>
      </c>
      <c r="I6" s="3" t="s">
        <v>27</v>
      </c>
      <c r="J6" s="3" t="s">
        <v>28</v>
      </c>
    </row>
    <row r="8" customFormat="false" ht="15" hidden="false" customHeight="false" outlineLevel="0" collapsed="false">
      <c r="A8" s="4" t="s">
        <v>29</v>
      </c>
    </row>
    <row r="9" customFormat="false" ht="15" hidden="false" customHeight="false" outlineLevel="0" collapsed="false">
      <c r="A9" s="5" t="s">
        <v>30</v>
      </c>
      <c r="C9" s="5" t="n">
        <v>256</v>
      </c>
    </row>
    <row r="10" customFormat="false" ht="15" hidden="false" customHeight="false" outlineLevel="0" collapsed="false">
      <c r="A10" s="5" t="s">
        <v>31</v>
      </c>
      <c r="C10" s="5" t="n">
        <f aca="false">SUM(F4:F6)</f>
        <v>112</v>
      </c>
    </row>
    <row r="11" customFormat="false" ht="15" hidden="false" customHeight="false" outlineLevel="0" collapsed="false">
      <c r="A11" s="5" t="s">
        <v>32</v>
      </c>
      <c r="C11" s="5" t="n">
        <f aca="false">C9-C10</f>
        <v>144</v>
      </c>
    </row>
    <row r="12" customFormat="false" ht="15" hidden="false" customHeight="false" outlineLevel="0" collapsed="false">
      <c r="A12" s="5" t="s">
        <v>33</v>
      </c>
      <c r="C12" s="5" t="s">
        <v>34</v>
      </c>
    </row>
    <row r="13" customFormat="false" ht="15" hidden="false" customHeight="false" outlineLevel="0" collapsed="false">
      <c r="A13" s="5" t="s">
        <v>35</v>
      </c>
      <c r="C13" s="5" t="s">
        <v>36</v>
      </c>
    </row>
    <row r="15" customFormat="false" ht="15" hidden="false" customHeight="false" outlineLevel="0" collapsed="false">
      <c r="A15" s="6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6" min="4" style="0" width="18"/>
  </cols>
  <sheetData>
    <row r="1" customFormat="false" ht="17.35" hidden="false" customHeight="false" outlineLevel="0" collapsed="false">
      <c r="A1" s="1" t="s">
        <v>38</v>
      </c>
    </row>
    <row r="2" customFormat="false" ht="15" hidden="false" customHeight="false" outlineLevel="0" collapsed="false">
      <c r="A2" s="7" t="s">
        <v>39</v>
      </c>
    </row>
    <row r="4" customFormat="false" ht="15" hidden="false" customHeight="false" outlineLevel="0" collapsed="false">
      <c r="A4" s="2" t="s">
        <v>40</v>
      </c>
      <c r="B4" s="2" t="s">
        <v>41</v>
      </c>
      <c r="C4" s="2" t="s">
        <v>42</v>
      </c>
      <c r="D4" s="2" t="s">
        <v>5</v>
      </c>
      <c r="E4" s="2" t="s">
        <v>43</v>
      </c>
      <c r="F4" s="2" t="s">
        <v>44</v>
      </c>
    </row>
    <row r="5" customFormat="false" ht="15" hidden="false" customHeight="false" outlineLevel="0" collapsed="false">
      <c r="A5" s="3" t="s">
        <v>45</v>
      </c>
      <c r="B5" s="3" t="s">
        <v>46</v>
      </c>
      <c r="C5" s="3" t="s">
        <v>14</v>
      </c>
      <c r="D5" s="3" t="s">
        <v>13</v>
      </c>
      <c r="E5" s="3" t="s">
        <v>47</v>
      </c>
      <c r="F5" s="3" t="s">
        <v>48</v>
      </c>
    </row>
    <row r="6" customFormat="false" ht="15" hidden="false" customHeight="false" outlineLevel="0" collapsed="false">
      <c r="A6" s="3" t="s">
        <v>45</v>
      </c>
      <c r="B6" s="3" t="s">
        <v>49</v>
      </c>
      <c r="C6" s="3" t="s">
        <v>20</v>
      </c>
      <c r="D6" s="3" t="s">
        <v>19</v>
      </c>
      <c r="E6" s="3" t="s">
        <v>50</v>
      </c>
      <c r="F6" s="3" t="s">
        <v>48</v>
      </c>
    </row>
    <row r="7" customFormat="false" ht="15" hidden="false" customHeight="false" outlineLevel="0" collapsed="false">
      <c r="A7" s="3" t="s">
        <v>45</v>
      </c>
      <c r="B7" s="3" t="s">
        <v>51</v>
      </c>
      <c r="C7" s="3" t="s">
        <v>26</v>
      </c>
      <c r="D7" s="3" t="s">
        <v>25</v>
      </c>
      <c r="E7" s="3" t="s">
        <v>52</v>
      </c>
      <c r="F7" s="3" t="s">
        <v>48</v>
      </c>
    </row>
    <row r="8" customFormat="false" ht="15" hidden="false" customHeight="false" outlineLevel="0" collapsed="false">
      <c r="A8" s="3" t="s">
        <v>47</v>
      </c>
      <c r="B8" s="3" t="s">
        <v>53</v>
      </c>
      <c r="C8" s="8"/>
      <c r="D8" s="3" t="s">
        <v>13</v>
      </c>
      <c r="E8" s="3" t="s">
        <v>54</v>
      </c>
      <c r="F8" s="3" t="s">
        <v>14</v>
      </c>
    </row>
    <row r="9" customFormat="false" ht="15" hidden="false" customHeight="false" outlineLevel="0" collapsed="false">
      <c r="A9" s="3" t="s">
        <v>50</v>
      </c>
      <c r="B9" s="3" t="s">
        <v>53</v>
      </c>
      <c r="C9" s="8"/>
      <c r="D9" s="3" t="s">
        <v>19</v>
      </c>
      <c r="E9" s="3" t="s">
        <v>55</v>
      </c>
      <c r="F9" s="3" t="s">
        <v>20</v>
      </c>
    </row>
    <row r="10" customFormat="false" ht="15" hidden="false" customHeight="false" outlineLevel="0" collapsed="false">
      <c r="A10" s="3" t="s">
        <v>52</v>
      </c>
      <c r="B10" s="3" t="s">
        <v>53</v>
      </c>
      <c r="C10" s="8"/>
      <c r="D10" s="3" t="s">
        <v>25</v>
      </c>
      <c r="E10" s="3" t="s">
        <v>56</v>
      </c>
      <c r="F10" s="3" t="s">
        <v>26</v>
      </c>
    </row>
    <row r="11" customFormat="false" ht="15" hidden="false" customHeight="false" outlineLevel="0" collapsed="false">
      <c r="A11" s="3" t="s">
        <v>57</v>
      </c>
      <c r="B11" s="3" t="s">
        <v>58</v>
      </c>
      <c r="C11" s="3" t="s">
        <v>59</v>
      </c>
      <c r="D11" s="3" t="s">
        <v>59</v>
      </c>
      <c r="E11" s="3" t="s">
        <v>47</v>
      </c>
      <c r="F11" s="3" t="s">
        <v>14</v>
      </c>
    </row>
    <row r="12" customFormat="false" ht="15" hidden="false" customHeight="false" outlineLevel="0" collapsed="false">
      <c r="A12" s="3" t="s">
        <v>60</v>
      </c>
      <c r="B12" s="3" t="s">
        <v>58</v>
      </c>
      <c r="C12" s="3" t="s">
        <v>59</v>
      </c>
      <c r="D12" s="3" t="s">
        <v>59</v>
      </c>
      <c r="E12" s="3" t="s">
        <v>50</v>
      </c>
      <c r="F12" s="3" t="s">
        <v>20</v>
      </c>
    </row>
    <row r="13" customFormat="false" ht="15" hidden="false" customHeight="false" outlineLevel="0" collapsed="false">
      <c r="A13" s="3" t="s">
        <v>61</v>
      </c>
      <c r="B13" s="3" t="s">
        <v>58</v>
      </c>
      <c r="C13" s="3" t="s">
        <v>59</v>
      </c>
      <c r="D13" s="3" t="s">
        <v>59</v>
      </c>
      <c r="E13" s="3" t="s">
        <v>52</v>
      </c>
      <c r="F13" s="3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2026-09-24T16:35:42Z</dcterms:created>
  <dc:creator>openpyxl</dc:creator>
  <dc:description/>
  <dc:language>en-US</dc:language>
  <cp:lastModifiedBy/>
  <dcterms:modified xsi:type="dcterms:W3CDTF">2026-09-24T16:35:42Z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